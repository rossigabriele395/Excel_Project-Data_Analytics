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aspa-my.sharepoint.com/personal/gabriele_rossi_vargroup_com/Documents/Desktop/Excel_Data_Analytics_Course-main/2_Formulas_Functions/"/>
    </mc:Choice>
  </mc:AlternateContent>
  <xr:revisionPtr revIDLastSave="51" documentId="13_ncr:1_{B4DACF0C-E6D1-403B-A48D-03B483E33508}" xr6:coauthVersionLast="47" xr6:coauthVersionMax="47" xr10:uidLastSave="{14C6F928-33DA-4299-A53E-32CC48F9FD43}"/>
  <bookViews>
    <workbookView xWindow="-120" yWindow="-120" windowWidth="29040" windowHeight="1572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4" i="10" a="1"/>
  <c r="R5" i="10" a="1"/>
  <c r="R6" i="10" a="1"/>
  <c r="R7" i="10" a="1"/>
  <c r="R8" i="10" a="1"/>
  <c r="R9" i="10" a="1"/>
  <c r="R10" i="10" a="1"/>
  <c r="R11" i="10" a="1"/>
  <c r="R12" i="10" a="1"/>
  <c r="R13" i="10" a="1"/>
  <c r="R14" i="10" a="1"/>
  <c r="R15" i="10" a="1"/>
  <c r="R16" i="10" a="1"/>
  <c r="R17" i="10" a="1"/>
  <c r="R18" i="10" a="1"/>
  <c r="R19" i="10" a="1"/>
  <c r="R20" i="10" a="1"/>
  <c r="R21" i="10" a="1"/>
  <c r="R2" i="10" a="1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N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R4" i="7"/>
  <c r="R5" i="7"/>
  <c r="R6" i="7"/>
  <c r="R7" i="7"/>
  <c r="R8" i="7"/>
  <c r="R9" i="7"/>
  <c r="R10" i="7"/>
  <c r="R11" i="7"/>
  <c r="R12" i="7"/>
  <c r="R3" i="7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4" i="11" a="1"/>
  <c r="R5" i="11" a="1"/>
  <c r="R6" i="11" a="1"/>
  <c r="R7" i="11" a="1"/>
  <c r="R8" i="11" a="1"/>
  <c r="R9" i="11" a="1"/>
  <c r="R10" i="11" a="1"/>
  <c r="R11" i="11" a="1"/>
  <c r="R12" i="11" a="1"/>
  <c r="R13" i="11" a="1"/>
  <c r="R14" i="11" a="1"/>
  <c r="R15" i="11" a="1"/>
  <c r="R16" i="11" a="1"/>
  <c r="R17" i="11" a="1"/>
  <c r="R18" i="11" a="1"/>
  <c r="R19" i="11" a="1"/>
  <c r="R20" i="11" a="1"/>
  <c r="R21" i="11" a="1"/>
  <c r="R2" i="11" a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<sst xmlns="http://schemas.openxmlformats.org/spreadsheetml/2006/main" count="395" uniqueCount="144">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</sst>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  <xf numFmtId="44" fontId="6" fillId="0" borderId="18" xfId="2" applyFont="1" applyBorder="1" applyAlignment="1">
      <alignment horizontal="center" vertical="top"/>
    </xf>
    <xf numFmtId="44" fontId="0" fillId="0" borderId="1" xfId="2" applyFont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R16"/>
  <sheetViews>
    <sheetView zoomScale="120" zoomScaleNormal="120" workbookViewId="0">
      <selection activeCell="U10" sqref="U10"/>
    </sheetView>
  </sheetViews>
  <sheetFormatPr defaultColWidth="9.140625" defaultRowHeight="15" x14ac:dyDescent="0.25"/>
  <cols>
    <col min="1" max="1" width="5.140625" style="1" customWidth="1"/>
    <col min="2" max="2" width="25.2851562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customWidth="1"/>
    <col min="13" max="13" width="9.140625" style="1" customWidth="1"/>
    <col min="14" max="14" width="10.42578125" style="1" hidden="1" customWidth="1"/>
    <col min="15" max="15" width="14.140625" style="1" hidden="1" customWidth="1"/>
    <col min="16" max="16" width="9.7109375" style="1" customWidth="1"/>
    <col min="17" max="17" width="9.140625" style="1"/>
    <col min="18" max="18" width="14.140625" style="1" bestFit="1" customWidth="1"/>
    <col min="19" max="16384" width="9.140625" style="1"/>
  </cols>
  <sheetData>
    <row r="1" spans="2:18" ht="15.75" thickBot="1" x14ac:dyDescent="0.3">
      <c r="G1" s="25"/>
    </row>
    <row r="2" spans="2:18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8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 "Not Met")</f>
        <v>Goal Met</v>
      </c>
      <c r="R3" s="1" t="str">
        <f>IF(E3&gt;=9000,"Relevant","Not Relevant")</f>
        <v>Relevant</v>
      </c>
    </row>
    <row r="4" spans="2:18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 "Not Met")</f>
        <v>Not Met</v>
      </c>
      <c r="R4" s="1" t="str">
        <f t="shared" ref="R4:R12" si="12">IF(E4&gt;=9000,"Relevant","Not Relevant")</f>
        <v>Relevant</v>
      </c>
    </row>
    <row r="5" spans="2:18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  <c r="R5" s="1" t="str">
        <f t="shared" si="12"/>
        <v>Not Relevant</v>
      </c>
    </row>
    <row r="6" spans="2:18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  <c r="R6" s="1" t="str">
        <f t="shared" si="12"/>
        <v>Not Relevant</v>
      </c>
    </row>
    <row r="7" spans="2:18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  <c r="R7" s="1" t="str">
        <f t="shared" si="12"/>
        <v>Relevant</v>
      </c>
    </row>
    <row r="8" spans="2:18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  <c r="R8" s="1" t="str">
        <f t="shared" si="12"/>
        <v>Not Relevant</v>
      </c>
    </row>
    <row r="9" spans="2:18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  <c r="R9" s="1" t="str">
        <f t="shared" si="12"/>
        <v>Relevant</v>
      </c>
    </row>
    <row r="10" spans="2:18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  <c r="R10" s="1" t="str">
        <f t="shared" si="12"/>
        <v>Relevant</v>
      </c>
    </row>
    <row r="11" spans="2:18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  <c r="R11" s="1" t="str">
        <f t="shared" si="12"/>
        <v>Relevant</v>
      </c>
    </row>
    <row r="12" spans="2:18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  <c r="R12" s="1" t="str">
        <f t="shared" si="12"/>
        <v>Relevant</v>
      </c>
    </row>
    <row r="14" spans="2:18" ht="15.75" thickBot="1" x14ac:dyDescent="0.3">
      <c r="B14" s="17" t="s">
        <v>25</v>
      </c>
    </row>
    <row r="15" spans="2:18" x14ac:dyDescent="0.25">
      <c r="B15" s="13" t="s">
        <v>22</v>
      </c>
      <c r="C15" s="14">
        <v>5</v>
      </c>
    </row>
    <row r="16" spans="2:18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4" sqref="R4"/>
    </sheetView>
  </sheetViews>
  <sheetFormatPr defaultRowHeight="15" x14ac:dyDescent="0.25"/>
  <cols>
    <col min="1" max="1" width="19.42578125" bestFit="1" customWidth="1"/>
    <col min="2" max="2" width="18.28515625" hidden="1" customWidth="1"/>
    <col min="3" max="3" width="25.5703125" hidden="1" customWidth="1"/>
    <col min="4" max="4" width="12.42578125" hidden="1" customWidth="1"/>
    <col min="5" max="5" width="44" hidden="1" customWidth="1"/>
    <col min="6" max="6" width="17" hidden="1" customWidth="1"/>
    <col min="7" max="7" width="21.7109375" hidden="1" customWidth="1"/>
    <col min="8" max="8" width="15.140625" bestFit="1" customWidth="1"/>
    <col min="9" max="9" width="21" hidden="1" customWidth="1"/>
    <col min="10" max="10" width="79.5703125" hidden="1" customWidth="1"/>
    <col min="11" max="11" width="12" bestFit="1" customWidth="1"/>
    <col min="12" max="12" width="15.85546875" bestFit="1" customWidth="1"/>
    <col min="13" max="13" width="17.28515625" customWidth="1"/>
    <col min="14" max="14" width="7.42578125" bestFit="1" customWidth="1"/>
    <col min="15" max="15" width="6" bestFit="1" customWidth="1"/>
    <col min="16" max="17" width="12" bestFit="1" customWidth="1"/>
    <col min="18" max="18" width="11.42578125" bestFit="1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48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49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AND($A2=K$1,$A2=L$1)</f>
        <v>0</v>
      </c>
      <c r="O2" t="b">
        <f>OR($A2=K$1,$A2=L$1)</f>
        <v>0</v>
      </c>
      <c r="P2" t="str">
        <f>IF(OR($A2=K$1,$A2=L$1),"Role Desired","Not Desired")</f>
        <v>Not Desired</v>
      </c>
      <c r="R2" t="str" cm="1">
        <f t="array" ref="R2">_xlfn.IFS($H2="", "No Data",$H2&gt;=$Q$1, "Salary &gt; 85K", TRUE, "Salary Low")</f>
        <v>Salary &gt; 85K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49">
        <v>35000</v>
      </c>
      <c r="I3" s="27" t="b">
        <v>1</v>
      </c>
      <c r="J3" s="27" t="s">
        <v>68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AND($A3=K$1,$A3=L$1)</f>
        <v>0</v>
      </c>
      <c r="O3" t="b">
        <f t="shared" ref="O3:O21" si="3">OR($A3=K$1,$A3=L$1)</f>
        <v>1</v>
      </c>
      <c r="P3" t="str">
        <f t="shared" ref="P3:P21" si="4">IF(OR($A3=K$1,$A3=L$1),"Role Desired","Not Desired")</f>
        <v>Role Desired</v>
      </c>
      <c r="R3" t="str" cm="1">
        <f t="array" ref="R3">_xlfn.IFS($H3="", "No Data",$H3&gt;=$Q$1, "Salary &gt; 85K", TRUE, "Salary Low")</f>
        <v>Salary Low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49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R4" t="str" cm="1">
        <f t="array" ref="R4">_xlfn.IFS($H4="", "No Data",$H4&gt;=$Q$1, "Salary &gt; 85K", TRUE, "Salary Low")</f>
        <v>No Data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49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R5" t="str" cm="1">
        <f t="array" ref="R5">_xlfn.IFS($H5="", "No Data",$H5&gt;=$Q$1, "Salary &gt; 85K", TRUE, "Salary Low")</f>
        <v>No Data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49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R6" t="str" cm="1">
        <f t="array" ref="R6">_xlfn.IFS($H6="", "No Data",$H6&gt;=$Q$1, "Salary &gt; 85K", TRUE, "Salary Low")</f>
        <v>No Data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49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R7" t="str" cm="1">
        <f t="array" ref="R7">_xlfn.IFS($H7="", "No Data",$H7&gt;=$Q$1, "Salary &gt; 85K", TRUE, "Salary Low")</f>
        <v>No Data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49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R8" t="str" cm="1">
        <f t="array" ref="R8">_xlfn.IFS($H8="", "No Data",$H8&gt;=$Q$1, "Salary &gt; 85K", TRUE, "Salary Low")</f>
        <v>No Data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49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R9" t="str" cm="1">
        <f t="array" ref="R9">_xlfn.IFS($H9="", "No Data",$H9&gt;=$Q$1, "Salary &gt; 85K", TRUE, "Salary Low")</f>
        <v>Salary &gt; 85K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49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R10" t="str" cm="1">
        <f t="array" ref="R10">_xlfn.IFS($H10="", "No Data",$H10&gt;=$Q$1, "Salary &gt; 85K", TRUE, "Salary Low")</f>
        <v>No Data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49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R11" t="str" cm="1">
        <f t="array" ref="R11">_xlfn.IFS($H11="", "No Data",$H11&gt;=$Q$1, "Salary &gt; 85K", TRUE, "Salary Low")</f>
        <v>Salary &gt; 85K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49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R12" t="str" cm="1">
        <f t="array" ref="R12">_xlfn.IFS($H12="", "No Data",$H12&gt;=$Q$1, "Salary &gt; 85K", TRUE, "Salary Low")</f>
        <v>Salary &gt; 85K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49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R13" t="str" cm="1">
        <f t="array" ref="R13">_xlfn.IFS($H13="", "No Data",$H13&gt;=$Q$1, "Salary &gt; 85K", TRUE, "Salary Low")</f>
        <v>Salary &gt; 85K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49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R14" t="str" cm="1">
        <f t="array" ref="R14">_xlfn.IFS($H14="", "No Data",$H14&gt;=$Q$1, "Salary &gt; 85K", TRUE, "Salary Low")</f>
        <v>Salary &gt; 85K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49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R15" t="str" cm="1">
        <f t="array" ref="R15">_xlfn.IFS($H15="", "No Data",$H15&gt;=$Q$1, "Salary &gt; 85K", TRUE, "Salary Low")</f>
        <v>Salary Low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49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R16" t="str" cm="1">
        <f t="array" ref="R16">_xlfn.IFS($H16="", "No Data",$H16&gt;=$Q$1,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49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R17" t="str" cm="1">
        <f t="array" ref="R17">_xlfn.IFS($H17="", "No Data",$H17&gt;=$Q$1,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49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R18" t="str" cm="1">
        <f t="array" ref="R18">_xlfn.IFS($H18="", "No Data",$H18&gt;=$Q$1,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49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R19" t="str" cm="1">
        <f t="array" ref="R19">_xlfn.IFS($H19="", "No Data",$H19&gt;=$Q$1,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49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R20" t="str" cm="1">
        <f t="array" ref="R20">_xlfn.IFS($H20="", "No Data",$H20&gt;=$Q$1,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49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R21" t="str" cm="1">
        <f t="array" ref="R21">_xlfn.IFS($H21="", "No Data",$H21&gt;=$Q$1, "Salary &gt; 85K", TRUE, "Salary Low")</f>
        <v>Salary &gt; 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bestFit="1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6" sqref="D6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.75" thickBot="1" x14ac:dyDescent="0.3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Gabriele Rossi</cp:lastModifiedBy>
  <dcterms:created xsi:type="dcterms:W3CDTF">2024-07-16T20:11:02Z</dcterms:created>
  <dcterms:modified xsi:type="dcterms:W3CDTF">2026-08-04T09:52:13Z</dcterms:modified>
</cp:coreProperties>
</file>